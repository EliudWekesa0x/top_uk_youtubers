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ESKTOP-D8RVGPM\Desktop\Steph Data UK YT Project\"/>
    </mc:Choice>
  </mc:AlternateContent>
  <xr:revisionPtr revIDLastSave="0" documentId="13_ncr:1_{652E94DE-E5DD-47F3-BB72-DD84DEEDF5F2}" xr6:coauthVersionLast="47" xr6:coauthVersionMax="47" xr10:uidLastSave="{00000000-0000-0000-0000-000000000000}"/>
  <bookViews>
    <workbookView xWindow="-120" yWindow="-120" windowWidth="20730" windowHeight="11760" activeTab="2" xr2:uid="{83EEAD3A-9FA1-4F7B-9993-593BE0BA2FDF}"/>
  </bookViews>
  <sheets>
    <sheet name="Total subs analysis" sheetId="1" r:id="rId1"/>
    <sheet name="Total vids analysis" sheetId="2" r:id="rId2"/>
    <sheet name="Total views analysis"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2" i="3" l="1"/>
  <c r="D12" i="3"/>
  <c r="F12" i="3" s="1"/>
  <c r="M11" i="3"/>
  <c r="F11" i="3"/>
  <c r="H11" i="3" s="1"/>
  <c r="P11" i="3" s="1"/>
  <c r="D11" i="3"/>
  <c r="N11" i="3" s="1"/>
  <c r="M10" i="3"/>
  <c r="D10" i="3"/>
  <c r="F10" i="3" s="1"/>
  <c r="M12" i="2"/>
  <c r="D12" i="2"/>
  <c r="F12" i="2" s="1"/>
  <c r="M11" i="2"/>
  <c r="F11" i="2"/>
  <c r="O11" i="2" s="1"/>
  <c r="D11" i="2"/>
  <c r="N11" i="2" s="1"/>
  <c r="M10" i="2"/>
  <c r="D10" i="2"/>
  <c r="F10" i="2" s="1"/>
  <c r="H10" i="3" l="1"/>
  <c r="P10" i="3" s="1"/>
  <c r="O10" i="3"/>
  <c r="O12" i="3"/>
  <c r="H12" i="3"/>
  <c r="P12" i="3" s="1"/>
  <c r="N10" i="3"/>
  <c r="O11" i="3"/>
  <c r="N12" i="3"/>
  <c r="O12" i="2"/>
  <c r="H12" i="2"/>
  <c r="P12" i="2" s="1"/>
  <c r="O10" i="2"/>
  <c r="H10" i="2"/>
  <c r="P10" i="2" s="1"/>
  <c r="H11" i="2"/>
  <c r="P11" i="2" s="1"/>
  <c r="N12" i="2"/>
  <c r="N10" i="2"/>
  <c r="M11" i="1" l="1"/>
  <c r="M12" i="1"/>
  <c r="M10" i="1"/>
  <c r="D10" i="1"/>
  <c r="N10" i="1" s="1"/>
  <c r="F12" i="1"/>
  <c r="O12" i="1" s="1"/>
  <c r="D11" i="1"/>
  <c r="F11" i="1" s="1"/>
  <c r="D12" i="1"/>
  <c r="N12" i="1" s="1"/>
  <c r="O11" i="1" l="1"/>
  <c r="H11" i="1"/>
  <c r="P11" i="1" s="1"/>
  <c r="F10" i="1"/>
  <c r="H12" i="1"/>
  <c r="P12" i="1" s="1"/>
  <c r="N11" i="1"/>
  <c r="O10" i="1" l="1"/>
  <c r="H10" i="1"/>
  <c r="P10" i="1" s="1"/>
</calcChain>
</file>

<file path=xl/sharedStrings.xml><?xml version="1.0" encoding="utf-8"?>
<sst xmlns="http://schemas.openxmlformats.org/spreadsheetml/2006/main" count="78" uniqueCount="50">
  <si>
    <t>Total Subscribers Analysis</t>
  </si>
  <si>
    <t>Reconciliations (Excel vs SQL)</t>
  </si>
  <si>
    <t>Channel Name</t>
  </si>
  <si>
    <t>Potential Product Sales per Video (Excel)</t>
  </si>
  <si>
    <t>Potential Product Sales per Video (SQL)</t>
  </si>
  <si>
    <t>Net Profit (Excel)</t>
  </si>
  <si>
    <t>Net Profit (SQL)</t>
  </si>
  <si>
    <t>Avg. Views per Vid. (Excel)</t>
  </si>
  <si>
    <t>Avg. Views per Vid.  (SQL)</t>
  </si>
  <si>
    <t>Conversion rate</t>
  </si>
  <si>
    <t>DanTDM</t>
  </si>
  <si>
    <t>NoCopyrightSounds</t>
  </si>
  <si>
    <t>Dan Rhodes</t>
  </si>
  <si>
    <t>Product cost ($)</t>
  </si>
  <si>
    <t>Campaign cost ($)</t>
  </si>
  <si>
    <t>Potential Revenue per Video($USD) (Excel)</t>
  </si>
  <si>
    <t>Potential Revenue per Video($USD) (SQL)</t>
  </si>
  <si>
    <t>Difference 
(Excel vs SQL)</t>
  </si>
  <si>
    <t>Avg. Views per Vid.</t>
  </si>
  <si>
    <t>Potential Product Sales per Video</t>
  </si>
  <si>
    <t>Potential Revenue per Video($USD)</t>
  </si>
  <si>
    <t xml:space="preserve">Net Profit </t>
  </si>
  <si>
    <t>Recommendations</t>
  </si>
  <si>
    <t>Based on the viewership and views per subscriber, Dan Rhodes appears to be the best option to advance with because there's a higher return on investment with Dan Rhodes compared to the other channels</t>
  </si>
  <si>
    <t>Campaign type</t>
  </si>
  <si>
    <t>Influencer marketing</t>
  </si>
  <si>
    <t>Total Videos Analysis</t>
  </si>
  <si>
    <t>Product cost</t>
  </si>
  <si>
    <t>Campaign cost</t>
  </si>
  <si>
    <t>11-video series sponsorship ($5k per vid)</t>
  </si>
  <si>
    <t>Avg Views per Vid (Excel)</t>
  </si>
  <si>
    <t>Avg Views per Vid (SQL)</t>
  </si>
  <si>
    <t xml:space="preserve">Potential Product Sales per video (Excel) </t>
  </si>
  <si>
    <t xml:space="preserve">Potential Product Sales per video (SQL) </t>
  </si>
  <si>
    <t>Potential revenue per video ($USD) (Excel)</t>
  </si>
  <si>
    <t>Potential revenue per video ($USD) (SQL)</t>
  </si>
  <si>
    <t>Net profit (Excel)</t>
  </si>
  <si>
    <t>Net profit (SQL)</t>
  </si>
  <si>
    <t xml:space="preserve">Avg Views per Vid </t>
  </si>
  <si>
    <t>Potential Product Sales per video</t>
  </si>
  <si>
    <t>Potential revenue per video ($USD)</t>
  </si>
  <si>
    <t xml:space="preserve">Net profit </t>
  </si>
  <si>
    <t>GRM Daily</t>
  </si>
  <si>
    <t>Man City</t>
  </si>
  <si>
    <t>Yogscast</t>
  </si>
  <si>
    <t>Althought Yogscast is the only channel with a positive net profit, the return on investment does not yied a high return. 
However, each of these channels are among some of the most consistent uploaders, averaging a resonable number of views per video, so it may be worth negotiating with the board on a higher budget for this 11-video series campaign to establish a good long-term relationship with these channels, as their consistent upload rate would inevitably increase their potential reach over time.</t>
  </si>
  <si>
    <t>Product placement</t>
  </si>
  <si>
    <t>Total Views Analysis</t>
  </si>
  <si>
    <t>Mister Max</t>
  </si>
  <si>
    <t>Mister Max generates the best ROI based on this deal structure, but it's hard to ignore the net profit the other YouTuber channels generate from this too. It may be worth sructuring a package for all three of these channels and reaching out to their teams for a further conversation into a deal that generates a good return for all parties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</si>
</sst>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_-;\-* #,##0.00_-;_-* &quot;-&quot;??_-;_-@_-"/>
    <numFmt numFmtId="166" formatCode="_-* #,##0_-;\-* #,##0_-;_-* &quot;-&quot;??_-;_-@_-"/>
  </numFmts>
  <fonts count="9"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1"/>
      <color rgb="FF006100"/>
      <name val="Calibri"/>
      <family val="2"/>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39997558519241921"/>
        <bgColor indexed="65"/>
      </patternFill>
    </fill>
    <fill>
      <patternFill patternType="solid">
        <fgColor theme="8" tint="0.59999389629810485"/>
        <bgColor indexed="65"/>
      </patternFill>
    </fill>
    <fill>
      <patternFill patternType="solid">
        <fgColor theme="5" tint="0.59999389629810485"/>
        <bgColor indexed="64"/>
      </patternFill>
    </fill>
    <fill>
      <patternFill patternType="solid">
        <fgColor rgb="FFFFCC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43"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165" fontId="1" fillId="0" borderId="0" applyFont="0" applyFill="0" applyBorder="0" applyAlignment="0" applyProtection="0"/>
  </cellStyleXfs>
  <cellXfs count="23">
    <xf numFmtId="0" fontId="0" fillId="0" borderId="0" xfId="0"/>
    <xf numFmtId="0" fontId="5" fillId="0" borderId="0" xfId="0" applyFont="1"/>
    <xf numFmtId="0" fontId="0" fillId="0" borderId="1" xfId="0" applyBorder="1"/>
    <xf numFmtId="0" fontId="0" fillId="0" borderId="1" xfId="0" applyBorder="1" applyAlignment="1">
      <alignment horizontal="center" wrapText="1"/>
    </xf>
    <xf numFmtId="0" fontId="4" fillId="4" borderId="1" xfId="4" applyBorder="1" applyAlignment="1">
      <alignment horizontal="center" wrapText="1"/>
    </xf>
    <xf numFmtId="0" fontId="3" fillId="3" borderId="1" xfId="3" applyBorder="1" applyAlignment="1">
      <alignment horizontal="center" wrapText="1"/>
    </xf>
    <xf numFmtId="0" fontId="2" fillId="2" borderId="1" xfId="2" applyBorder="1" applyAlignment="1">
      <alignment horizontal="center" wrapText="1"/>
    </xf>
    <xf numFmtId="0" fontId="1" fillId="6" borderId="1" xfId="6" applyBorder="1" applyAlignment="1">
      <alignment horizontal="center" wrapText="1"/>
    </xf>
    <xf numFmtId="0" fontId="1" fillId="5" borderId="1" xfId="5" applyBorder="1"/>
    <xf numFmtId="0" fontId="0" fillId="5" borderId="1" xfId="5" applyFont="1" applyBorder="1"/>
    <xf numFmtId="164" fontId="0" fillId="0" borderId="1" xfId="1" applyNumberFormat="1" applyFont="1" applyBorder="1"/>
    <xf numFmtId="164" fontId="0" fillId="0" borderId="0" xfId="0" applyNumberFormat="1"/>
    <xf numFmtId="0" fontId="0" fillId="6" borderId="1" xfId="6" applyFont="1" applyBorder="1" applyAlignment="1">
      <alignment horizontal="center" wrapText="1"/>
    </xf>
    <xf numFmtId="164" fontId="8" fillId="2" borderId="1" xfId="2" applyNumberFormat="1" applyFont="1" applyBorder="1"/>
    <xf numFmtId="0" fontId="0" fillId="0" borderId="1" xfId="0" applyBorder="1" applyAlignment="1">
      <alignment horizontal="right"/>
    </xf>
    <xf numFmtId="0" fontId="6" fillId="7" borderId="0" xfId="0" applyFont="1" applyFill="1" applyAlignment="1">
      <alignment horizontal="center"/>
    </xf>
    <xf numFmtId="0" fontId="7" fillId="8" borderId="1" xfId="0" applyFont="1" applyFill="1" applyBorder="1" applyAlignment="1">
      <alignment horizontal="center" wrapText="1"/>
    </xf>
    <xf numFmtId="0" fontId="7" fillId="8" borderId="1" xfId="0" applyFont="1" applyFill="1" applyBorder="1" applyAlignment="1">
      <alignment horizontal="center"/>
    </xf>
    <xf numFmtId="0" fontId="0" fillId="0" borderId="0" xfId="0" applyAlignment="1">
      <alignment horizontal="center" wrapText="1"/>
    </xf>
    <xf numFmtId="166" fontId="0" fillId="0" borderId="1" xfId="7" applyNumberFormat="1" applyFont="1" applyBorder="1"/>
    <xf numFmtId="166" fontId="4" fillId="4" borderId="1" xfId="7" applyNumberFormat="1" applyFont="1" applyFill="1" applyBorder="1" applyAlignment="1">
      <alignment horizontal="center" wrapText="1"/>
    </xf>
    <xf numFmtId="166" fontId="0" fillId="0" borderId="0" xfId="0" applyNumberFormat="1"/>
    <xf numFmtId="166" fontId="0" fillId="0" borderId="0" xfId="7" applyNumberFormat="1" applyFont="1"/>
  </cellXfs>
  <cellStyles count="8">
    <cellStyle name="40% - Accent5" xfId="6" builtinId="47"/>
    <cellStyle name="60% - Accent1" xfId="5" builtinId="32"/>
    <cellStyle name="Bad" xfId="3" builtinId="27"/>
    <cellStyle name="Comma" xfId="1" builtinId="3"/>
    <cellStyle name="Comma 2" xfId="7" xr:uid="{85DA002A-FD93-4AB8-A948-B6DE03DC95B6}"/>
    <cellStyle name="Good" xfId="2" builtinId="26"/>
    <cellStyle name="Neutral" xfId="4" builtinId="28"/>
    <cellStyle name="Normal" xfId="0" builtinId="0"/>
  </cellStyles>
  <dxfs count="7">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s>
  <tableStyles count="0" defaultTableStyle="TableStyleMedium2" defaultPivotStyle="PivotStyleLight16"/>
  <colors>
    <mruColors>
      <color rgb="FFFFCCFF"/>
      <color rgb="FFFF505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CC32-17E7-46B9-B5C3-39251BF49707}">
  <dimension ref="A1:P19"/>
  <sheetViews>
    <sheetView workbookViewId="0">
      <selection activeCell="P9" sqref="P9"/>
    </sheetView>
  </sheetViews>
  <sheetFormatPr defaultRowHeight="15" x14ac:dyDescent="0.25"/>
  <cols>
    <col min="1" max="1" width="18.85546875" bestFit="1" customWidth="1"/>
    <col min="2" max="2" width="18.85546875" customWidth="1"/>
    <col min="3" max="3" width="18.140625" customWidth="1"/>
    <col min="4" max="4" width="21.28515625" customWidth="1"/>
    <col min="5" max="5" width="20.5703125" customWidth="1"/>
    <col min="6" max="6" width="21" customWidth="1"/>
    <col min="7" max="7" width="20.85546875" customWidth="1"/>
    <col min="8" max="8" width="10.85546875" customWidth="1"/>
    <col min="9" max="9" width="10.28515625" customWidth="1"/>
    <col min="13" max="13" width="18" customWidth="1"/>
    <col min="14" max="14" width="17.5703125" customWidth="1"/>
    <col min="15" max="15" width="18.5703125" customWidth="1"/>
    <col min="16" max="16" width="13.28515625" customWidth="1"/>
  </cols>
  <sheetData>
    <row r="1" spans="1:16" ht="23.25" x14ac:dyDescent="0.35">
      <c r="A1" s="15" t="s">
        <v>0</v>
      </c>
      <c r="B1" s="15"/>
      <c r="C1" s="15"/>
      <c r="D1" s="15"/>
    </row>
    <row r="4" spans="1:16" x14ac:dyDescent="0.25">
      <c r="A4" s="1" t="s">
        <v>1</v>
      </c>
      <c r="C4" s="8" t="s">
        <v>9</v>
      </c>
      <c r="D4" s="2">
        <v>0.02</v>
      </c>
    </row>
    <row r="5" spans="1:16" x14ac:dyDescent="0.25">
      <c r="C5" s="9" t="s">
        <v>13</v>
      </c>
      <c r="D5" s="2">
        <v>5</v>
      </c>
    </row>
    <row r="6" spans="1:16" x14ac:dyDescent="0.25">
      <c r="C6" s="9" t="s">
        <v>14</v>
      </c>
      <c r="D6" s="10">
        <v>50000</v>
      </c>
    </row>
    <row r="7" spans="1:16" ht="15" customHeight="1" x14ac:dyDescent="0.25">
      <c r="C7" s="8" t="s">
        <v>24</v>
      </c>
      <c r="D7" s="14" t="s">
        <v>46</v>
      </c>
    </row>
    <row r="8" spans="1:16" ht="40.5" customHeight="1" x14ac:dyDescent="0.35">
      <c r="M8" s="16" t="s">
        <v>17</v>
      </c>
      <c r="N8" s="17"/>
      <c r="O8" s="17"/>
      <c r="P8" s="17"/>
    </row>
    <row r="9" spans="1:16" ht="33" customHeight="1" x14ac:dyDescent="0.25">
      <c r="A9" s="3" t="s">
        <v>2</v>
      </c>
      <c r="B9" s="4" t="s">
        <v>7</v>
      </c>
      <c r="C9" s="4" t="s">
        <v>8</v>
      </c>
      <c r="D9" s="5" t="s">
        <v>3</v>
      </c>
      <c r="E9" s="5" t="s">
        <v>4</v>
      </c>
      <c r="F9" s="6" t="s">
        <v>15</v>
      </c>
      <c r="G9" s="6" t="s">
        <v>16</v>
      </c>
      <c r="H9" s="7" t="s">
        <v>5</v>
      </c>
      <c r="I9" s="7" t="s">
        <v>6</v>
      </c>
      <c r="M9" s="4" t="s">
        <v>18</v>
      </c>
      <c r="N9" s="5" t="s">
        <v>19</v>
      </c>
      <c r="O9" s="6" t="s">
        <v>20</v>
      </c>
      <c r="P9" s="12" t="s">
        <v>21</v>
      </c>
    </row>
    <row r="10" spans="1:16" x14ac:dyDescent="0.25">
      <c r="A10" s="2" t="s">
        <v>11</v>
      </c>
      <c r="B10" s="10">
        <v>6920000</v>
      </c>
      <c r="C10" s="10">
        <v>6920000</v>
      </c>
      <c r="D10" s="10">
        <f>B10*$D$4</f>
        <v>138400</v>
      </c>
      <c r="E10" s="10">
        <v>138400</v>
      </c>
      <c r="F10" s="10">
        <f>D10*$D$5</f>
        <v>692000</v>
      </c>
      <c r="G10" s="10">
        <v>692000</v>
      </c>
      <c r="H10" s="10">
        <f>F10-$D$6</f>
        <v>642000</v>
      </c>
      <c r="I10" s="10">
        <v>642000</v>
      </c>
      <c r="M10" s="11">
        <f>B10-C10</f>
        <v>0</v>
      </c>
      <c r="N10" s="11">
        <f>D10-E10</f>
        <v>0</v>
      </c>
      <c r="O10" s="11">
        <f>F10-G10</f>
        <v>0</v>
      </c>
      <c r="P10" s="11">
        <f>H10-I10</f>
        <v>0</v>
      </c>
    </row>
    <row r="11" spans="1:16" x14ac:dyDescent="0.25">
      <c r="A11" s="2" t="s">
        <v>10</v>
      </c>
      <c r="B11" s="10">
        <v>5340000</v>
      </c>
      <c r="C11" s="10">
        <v>5340000</v>
      </c>
      <c r="D11" s="10">
        <f t="shared" ref="D11:D12" si="0">B11*$D$4</f>
        <v>106800</v>
      </c>
      <c r="E11" s="10">
        <v>106800</v>
      </c>
      <c r="F11" s="10">
        <f t="shared" ref="F11:F12" si="1">D11*$D$5</f>
        <v>534000</v>
      </c>
      <c r="G11" s="10">
        <v>534000</v>
      </c>
      <c r="H11" s="10">
        <f t="shared" ref="H11:H12" si="2">F11-$D$6</f>
        <v>484000</v>
      </c>
      <c r="I11" s="10">
        <v>484000</v>
      </c>
      <c r="M11" s="11">
        <f t="shared" ref="M11:M12" si="3">B11-C11</f>
        <v>0</v>
      </c>
      <c r="N11" s="11">
        <f t="shared" ref="N11:N12" si="4">D11-E11</f>
        <v>0</v>
      </c>
      <c r="O11" s="11">
        <f t="shared" ref="O11:O12" si="5">F11-G11</f>
        <v>0</v>
      </c>
      <c r="P11" s="11">
        <f t="shared" ref="P11:P12" si="6">H11-I11</f>
        <v>0</v>
      </c>
    </row>
    <row r="12" spans="1:16" x14ac:dyDescent="0.25">
      <c r="A12" s="2" t="s">
        <v>12</v>
      </c>
      <c r="B12" s="10">
        <v>11150000</v>
      </c>
      <c r="C12" s="10">
        <v>11150000</v>
      </c>
      <c r="D12" s="10">
        <f t="shared" si="0"/>
        <v>223000</v>
      </c>
      <c r="E12" s="10">
        <v>223000</v>
      </c>
      <c r="F12" s="10">
        <f t="shared" si="1"/>
        <v>1115000</v>
      </c>
      <c r="G12" s="10">
        <v>1115000</v>
      </c>
      <c r="H12" s="13">
        <f t="shared" si="2"/>
        <v>1065000</v>
      </c>
      <c r="I12" s="13">
        <v>1065000</v>
      </c>
      <c r="M12" s="11">
        <f t="shared" si="3"/>
        <v>0</v>
      </c>
      <c r="N12" s="11">
        <f t="shared" si="4"/>
        <v>0</v>
      </c>
      <c r="O12" s="11">
        <f t="shared" si="5"/>
        <v>0</v>
      </c>
      <c r="P12" s="11">
        <f t="shared" si="6"/>
        <v>0</v>
      </c>
    </row>
    <row r="14" spans="1:16" x14ac:dyDescent="0.25">
      <c r="C14" s="11"/>
    </row>
    <row r="15" spans="1:16" x14ac:dyDescent="0.25">
      <c r="C15" s="11"/>
    </row>
    <row r="16" spans="1:16" x14ac:dyDescent="0.25">
      <c r="C16" s="11"/>
    </row>
    <row r="17" spans="1:4" x14ac:dyDescent="0.25">
      <c r="A17" s="1" t="s">
        <v>22</v>
      </c>
    </row>
    <row r="19" spans="1:4" ht="51" customHeight="1" x14ac:dyDescent="0.25">
      <c r="A19" s="18" t="s">
        <v>23</v>
      </c>
      <c r="B19" s="18"/>
      <c r="C19" s="18"/>
      <c r="D19" s="18"/>
    </row>
  </sheetData>
  <mergeCells count="3">
    <mergeCell ref="A1:D1"/>
    <mergeCell ref="M8:P8"/>
    <mergeCell ref="A19:D19"/>
  </mergeCells>
  <conditionalFormatting sqref="M10:P12">
    <cfRule type="cellIs" dxfId="6" priority="1" operator="notEqual">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F3DC-3CCB-4AD2-AA2C-BA7D4E8FA9FB}">
  <dimension ref="A1:P19"/>
  <sheetViews>
    <sheetView workbookViewId="0">
      <selection activeCell="P9" sqref="P9"/>
    </sheetView>
  </sheetViews>
  <sheetFormatPr defaultRowHeight="15" x14ac:dyDescent="0.25"/>
  <cols>
    <col min="1" max="1" width="16.85546875" customWidth="1"/>
    <col min="2" max="3" width="17.28515625" customWidth="1"/>
    <col min="4" max="4" width="36.28515625" customWidth="1"/>
    <col min="5" max="5" width="33.85546875" customWidth="1"/>
    <col min="6" max="6" width="23.28515625" customWidth="1"/>
    <col min="7" max="7" width="20.85546875" customWidth="1"/>
    <col min="8" max="8" width="11.140625" customWidth="1"/>
    <col min="9" max="9" width="11.42578125" customWidth="1"/>
    <col min="13" max="13" width="18.85546875" customWidth="1"/>
    <col min="14" max="14" width="14.85546875" customWidth="1"/>
    <col min="15" max="15" width="18.85546875" customWidth="1"/>
    <col min="16" max="16" width="13" customWidth="1"/>
  </cols>
  <sheetData>
    <row r="1" spans="1:16" ht="23.25" x14ac:dyDescent="0.35">
      <c r="A1" s="15" t="s">
        <v>26</v>
      </c>
      <c r="B1" s="15"/>
      <c r="C1" s="15"/>
      <c r="D1" s="15"/>
    </row>
    <row r="4" spans="1:16" x14ac:dyDescent="0.25">
      <c r="A4" s="1" t="s">
        <v>1</v>
      </c>
      <c r="C4" s="8" t="s">
        <v>9</v>
      </c>
      <c r="D4" s="2">
        <v>0.02</v>
      </c>
    </row>
    <row r="5" spans="1:16" x14ac:dyDescent="0.25">
      <c r="C5" s="9" t="s">
        <v>27</v>
      </c>
      <c r="D5" s="2">
        <v>5</v>
      </c>
    </row>
    <row r="6" spans="1:16" x14ac:dyDescent="0.25">
      <c r="C6" s="9" t="s">
        <v>28</v>
      </c>
      <c r="D6" s="19">
        <v>55000</v>
      </c>
    </row>
    <row r="7" spans="1:16" ht="17.25" customHeight="1" x14ac:dyDescent="0.25">
      <c r="C7" s="8" t="s">
        <v>24</v>
      </c>
      <c r="D7" s="14" t="s">
        <v>29</v>
      </c>
    </row>
    <row r="8" spans="1:16" ht="39" customHeight="1" x14ac:dyDescent="0.35">
      <c r="M8" s="16" t="s">
        <v>17</v>
      </c>
      <c r="N8" s="17"/>
      <c r="O8" s="17"/>
      <c r="P8" s="17"/>
    </row>
    <row r="9" spans="1:16" ht="31.5" customHeight="1" x14ac:dyDescent="0.25">
      <c r="A9" s="3" t="s">
        <v>2</v>
      </c>
      <c r="B9" s="20" t="s">
        <v>30</v>
      </c>
      <c r="C9" s="4" t="s">
        <v>31</v>
      </c>
      <c r="D9" s="5" t="s">
        <v>32</v>
      </c>
      <c r="E9" s="5" t="s">
        <v>33</v>
      </c>
      <c r="F9" s="6" t="s">
        <v>34</v>
      </c>
      <c r="G9" s="6" t="s">
        <v>35</v>
      </c>
      <c r="H9" s="7" t="s">
        <v>36</v>
      </c>
      <c r="I9" s="7" t="s">
        <v>37</v>
      </c>
      <c r="M9" s="20" t="s">
        <v>38</v>
      </c>
      <c r="N9" s="5" t="s">
        <v>39</v>
      </c>
      <c r="O9" s="6" t="s">
        <v>40</v>
      </c>
      <c r="P9" s="12" t="s">
        <v>41</v>
      </c>
    </row>
    <row r="10" spans="1:16" x14ac:dyDescent="0.25">
      <c r="A10" s="2" t="s">
        <v>42</v>
      </c>
      <c r="B10" s="19">
        <v>510000</v>
      </c>
      <c r="C10" s="19">
        <v>510000</v>
      </c>
      <c r="D10" s="19">
        <f>B10*$D$4</f>
        <v>10200</v>
      </c>
      <c r="E10" s="19">
        <v>10200</v>
      </c>
      <c r="F10" s="19">
        <f>D10*$D$5</f>
        <v>51000</v>
      </c>
      <c r="G10" s="19">
        <v>51000</v>
      </c>
      <c r="H10" s="19">
        <f>F10-$D$6</f>
        <v>-4000</v>
      </c>
      <c r="I10" s="19">
        <v>-4000</v>
      </c>
      <c r="M10" s="21">
        <f>B10-C10</f>
        <v>0</v>
      </c>
      <c r="N10" s="21">
        <f>D10-E10</f>
        <v>0</v>
      </c>
      <c r="O10" s="21">
        <f>F10-G10</f>
        <v>0</v>
      </c>
      <c r="P10" s="21">
        <f>H10-I10</f>
        <v>0</v>
      </c>
    </row>
    <row r="11" spans="1:16" x14ac:dyDescent="0.25">
      <c r="A11" s="2" t="s">
        <v>43</v>
      </c>
      <c r="B11" s="19">
        <v>240000</v>
      </c>
      <c r="C11" s="19">
        <v>240000</v>
      </c>
      <c r="D11" s="19">
        <f t="shared" ref="D11:D12" si="0">B11*$D$4</f>
        <v>4800</v>
      </c>
      <c r="E11" s="19">
        <v>4800</v>
      </c>
      <c r="F11" s="19">
        <f t="shared" ref="F11:F12" si="1">D11*$D$5</f>
        <v>24000</v>
      </c>
      <c r="G11" s="19">
        <v>24000</v>
      </c>
      <c r="H11" s="19">
        <f t="shared" ref="H11:H12" si="2">F11-$D$6</f>
        <v>-31000</v>
      </c>
      <c r="I11" s="19">
        <v>-31000</v>
      </c>
      <c r="M11" s="21">
        <f t="shared" ref="M11:M12" si="3">B11-C11</f>
        <v>0</v>
      </c>
      <c r="N11" s="21">
        <f t="shared" ref="N11:N12" si="4">D11-E11</f>
        <v>0</v>
      </c>
      <c r="O11" s="21">
        <f>F11-G11</f>
        <v>0</v>
      </c>
      <c r="P11" s="21">
        <f>H11-I11</f>
        <v>0</v>
      </c>
    </row>
    <row r="12" spans="1:16" x14ac:dyDescent="0.25">
      <c r="A12" s="2" t="s">
        <v>44</v>
      </c>
      <c r="B12" s="19">
        <v>710000</v>
      </c>
      <c r="C12" s="19">
        <v>710000</v>
      </c>
      <c r="D12" s="19">
        <f t="shared" si="0"/>
        <v>14200</v>
      </c>
      <c r="E12" s="19">
        <v>14200</v>
      </c>
      <c r="F12" s="19">
        <f t="shared" si="1"/>
        <v>71000</v>
      </c>
      <c r="G12" s="2">
        <v>71000</v>
      </c>
      <c r="H12" s="19">
        <f t="shared" si="2"/>
        <v>16000</v>
      </c>
      <c r="I12" s="19">
        <v>16000</v>
      </c>
      <c r="M12" s="21">
        <f t="shared" si="3"/>
        <v>0</v>
      </c>
      <c r="N12" s="21">
        <f t="shared" si="4"/>
        <v>0</v>
      </c>
      <c r="O12" s="21">
        <f>F12-G12</f>
        <v>0</v>
      </c>
      <c r="P12" s="21">
        <f t="shared" ref="P12" si="5">H12-I12</f>
        <v>0</v>
      </c>
    </row>
    <row r="13" spans="1:16" x14ac:dyDescent="0.25">
      <c r="B13" s="22"/>
      <c r="C13" s="22"/>
    </row>
    <row r="14" spans="1:16" x14ac:dyDescent="0.25">
      <c r="C14" s="21"/>
    </row>
    <row r="15" spans="1:16" x14ac:dyDescent="0.25">
      <c r="C15" s="21"/>
    </row>
    <row r="16" spans="1:16" x14ac:dyDescent="0.25">
      <c r="C16" s="21"/>
    </row>
    <row r="17" spans="1:4" x14ac:dyDescent="0.25">
      <c r="A17" s="1" t="s">
        <v>22</v>
      </c>
    </row>
    <row r="19" spans="1:4" ht="126" customHeight="1" x14ac:dyDescent="0.25">
      <c r="A19" s="18" t="s">
        <v>45</v>
      </c>
      <c r="B19" s="18"/>
      <c r="C19" s="18"/>
      <c r="D19" s="18"/>
    </row>
  </sheetData>
  <mergeCells count="3">
    <mergeCell ref="A1:D1"/>
    <mergeCell ref="M8:P8"/>
    <mergeCell ref="A19:D19"/>
  </mergeCells>
  <conditionalFormatting sqref="M10:P12">
    <cfRule type="cellIs" dxfId="5" priority="1" operator="notEqual">
      <formula>0</formula>
    </cfRule>
    <cfRule type="expression" dxfId="4" priority="3">
      <formula>$M$10&lt;&gt;0</formula>
    </cfRule>
  </conditionalFormatting>
  <conditionalFormatting sqref="N10:N12">
    <cfRule type="expression" dxfId="3" priority="2">
      <formula>$M$10:$P$12&lt;&gt;0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A69AB-D87F-4719-8C3A-A5F42310F28F}">
  <dimension ref="A1:P19"/>
  <sheetViews>
    <sheetView tabSelected="1" workbookViewId="0">
      <selection activeCell="E16" sqref="E16"/>
    </sheetView>
  </sheetViews>
  <sheetFormatPr defaultRowHeight="15" x14ac:dyDescent="0.25"/>
  <cols>
    <col min="1" max="2" width="18.85546875" customWidth="1"/>
    <col min="3" max="3" width="18.5703125" customWidth="1"/>
    <col min="4" max="4" width="26" customWidth="1"/>
    <col min="5" max="5" width="24.7109375" customWidth="1"/>
    <col min="6" max="6" width="21.140625" customWidth="1"/>
    <col min="7" max="7" width="20.140625" customWidth="1"/>
    <col min="8" max="8" width="10.28515625" customWidth="1"/>
    <col min="9" max="9" width="11" customWidth="1"/>
    <col min="13" max="14" width="17.42578125" customWidth="1"/>
    <col min="15" max="15" width="20.42578125" customWidth="1"/>
    <col min="16" max="16" width="13" customWidth="1"/>
  </cols>
  <sheetData>
    <row r="1" spans="1:16" ht="23.25" x14ac:dyDescent="0.35">
      <c r="A1" s="15" t="s">
        <v>47</v>
      </c>
      <c r="B1" s="15"/>
      <c r="C1" s="15"/>
      <c r="D1" s="15"/>
    </row>
    <row r="4" spans="1:16" x14ac:dyDescent="0.25">
      <c r="A4" s="1" t="s">
        <v>1</v>
      </c>
      <c r="C4" s="8" t="s">
        <v>9</v>
      </c>
      <c r="D4" s="2">
        <v>0.02</v>
      </c>
    </row>
    <row r="5" spans="1:16" x14ac:dyDescent="0.25">
      <c r="C5" s="9" t="s">
        <v>27</v>
      </c>
      <c r="D5" s="2">
        <v>5</v>
      </c>
    </row>
    <row r="6" spans="1:16" x14ac:dyDescent="0.25">
      <c r="C6" s="9" t="s">
        <v>28</v>
      </c>
      <c r="D6" s="19">
        <v>130000</v>
      </c>
    </row>
    <row r="7" spans="1:16" ht="19.5" customHeight="1" x14ac:dyDescent="0.25">
      <c r="C7" s="8" t="s">
        <v>24</v>
      </c>
      <c r="D7" s="14" t="s">
        <v>25</v>
      </c>
    </row>
    <row r="8" spans="1:16" ht="42" customHeight="1" x14ac:dyDescent="0.35">
      <c r="M8" s="16" t="s">
        <v>17</v>
      </c>
      <c r="N8" s="17"/>
      <c r="O8" s="17"/>
      <c r="P8" s="17"/>
    </row>
    <row r="9" spans="1:16" ht="29.25" customHeight="1" x14ac:dyDescent="0.25">
      <c r="A9" s="3" t="s">
        <v>2</v>
      </c>
      <c r="B9" s="20" t="s">
        <v>30</v>
      </c>
      <c r="C9" s="4" t="s">
        <v>31</v>
      </c>
      <c r="D9" s="5" t="s">
        <v>32</v>
      </c>
      <c r="E9" s="5" t="s">
        <v>33</v>
      </c>
      <c r="F9" s="6" t="s">
        <v>34</v>
      </c>
      <c r="G9" s="6" t="s">
        <v>35</v>
      </c>
      <c r="H9" s="7" t="s">
        <v>36</v>
      </c>
      <c r="I9" s="7" t="s">
        <v>37</v>
      </c>
      <c r="M9" s="20" t="s">
        <v>38</v>
      </c>
      <c r="N9" s="5" t="s">
        <v>39</v>
      </c>
      <c r="O9" s="6" t="s">
        <v>40</v>
      </c>
      <c r="P9" s="12" t="s">
        <v>41</v>
      </c>
    </row>
    <row r="10" spans="1:16" x14ac:dyDescent="0.25">
      <c r="A10" s="2" t="s">
        <v>12</v>
      </c>
      <c r="B10" s="19">
        <v>11150000</v>
      </c>
      <c r="C10" s="19">
        <v>11150000</v>
      </c>
      <c r="D10" s="19">
        <f>B10*$D$4</f>
        <v>223000</v>
      </c>
      <c r="E10" s="19">
        <v>223000</v>
      </c>
      <c r="F10" s="19">
        <f>D10*$D$5</f>
        <v>1115000</v>
      </c>
      <c r="G10" s="19">
        <v>1115000</v>
      </c>
      <c r="H10" s="19">
        <f>F10-$D$6</f>
        <v>985000</v>
      </c>
      <c r="I10" s="19">
        <v>985000</v>
      </c>
      <c r="M10" s="21">
        <f>B10-C10</f>
        <v>0</v>
      </c>
      <c r="N10" s="21">
        <f>D10-E10</f>
        <v>0</v>
      </c>
      <c r="O10" s="21">
        <f>F10-G10</f>
        <v>0</v>
      </c>
      <c r="P10" s="21">
        <f>H10-I10</f>
        <v>0</v>
      </c>
    </row>
    <row r="11" spans="1:16" x14ac:dyDescent="0.25">
      <c r="A11" s="2" t="s">
        <v>10</v>
      </c>
      <c r="B11" s="19">
        <v>5340000</v>
      </c>
      <c r="C11" s="19">
        <v>5340000</v>
      </c>
      <c r="D11" s="19">
        <f t="shared" ref="D11:D12" si="0">B11*$D$4</f>
        <v>106800</v>
      </c>
      <c r="E11" s="19">
        <v>106800</v>
      </c>
      <c r="F11" s="19">
        <f t="shared" ref="F11:F12" si="1">D11*$D$5</f>
        <v>534000</v>
      </c>
      <c r="G11" s="19">
        <v>534000</v>
      </c>
      <c r="H11" s="19">
        <f t="shared" ref="H11:H12" si="2">F11-$D$6</f>
        <v>404000</v>
      </c>
      <c r="I11" s="19">
        <v>404000</v>
      </c>
      <c r="M11" s="21">
        <f t="shared" ref="M11:M12" si="3">B11-C11</f>
        <v>0</v>
      </c>
      <c r="N11" s="21">
        <f t="shared" ref="N11:N12" si="4">D11-E11</f>
        <v>0</v>
      </c>
      <c r="O11" s="21">
        <f t="shared" ref="O11:O12" si="5">F11-G11</f>
        <v>0</v>
      </c>
      <c r="P11" s="21">
        <f>H11-I11</f>
        <v>0</v>
      </c>
    </row>
    <row r="12" spans="1:16" x14ac:dyDescent="0.25">
      <c r="A12" s="2" t="s">
        <v>48</v>
      </c>
      <c r="B12" s="19">
        <v>14060000</v>
      </c>
      <c r="C12" s="19">
        <v>14060000</v>
      </c>
      <c r="D12" s="19">
        <f t="shared" si="0"/>
        <v>281200</v>
      </c>
      <c r="E12" s="19">
        <v>281200</v>
      </c>
      <c r="F12" s="19">
        <f t="shared" si="1"/>
        <v>1406000</v>
      </c>
      <c r="G12" s="19">
        <v>1406000</v>
      </c>
      <c r="H12" s="19">
        <f t="shared" si="2"/>
        <v>1276000</v>
      </c>
      <c r="I12" s="19">
        <v>1276000</v>
      </c>
      <c r="M12" s="21">
        <f t="shared" si="3"/>
        <v>0</v>
      </c>
      <c r="N12" s="21">
        <f t="shared" si="4"/>
        <v>0</v>
      </c>
      <c r="O12" s="21">
        <f t="shared" si="5"/>
        <v>0</v>
      </c>
      <c r="P12" s="21">
        <f t="shared" ref="P12" si="6">H12-I12</f>
        <v>0</v>
      </c>
    </row>
    <row r="13" spans="1:16" x14ac:dyDescent="0.25">
      <c r="B13" s="22"/>
      <c r="C13" s="22"/>
    </row>
    <row r="14" spans="1:16" x14ac:dyDescent="0.25">
      <c r="C14" s="21"/>
    </row>
    <row r="15" spans="1:16" x14ac:dyDescent="0.25">
      <c r="C15" s="21"/>
    </row>
    <row r="16" spans="1:16" x14ac:dyDescent="0.25">
      <c r="C16" s="21"/>
    </row>
    <row r="17" spans="1:4" x14ac:dyDescent="0.25">
      <c r="A17" s="1" t="s">
        <v>22</v>
      </c>
    </row>
    <row r="19" spans="1:4" ht="61.5" customHeight="1" x14ac:dyDescent="0.25">
      <c r="A19" s="18" t="s">
        <v>49</v>
      </c>
      <c r="B19" s="18"/>
      <c r="C19" s="18"/>
      <c r="D19" s="18"/>
    </row>
  </sheetData>
  <mergeCells count="3">
    <mergeCell ref="A1:D1"/>
    <mergeCell ref="M8:P8"/>
    <mergeCell ref="A19:D19"/>
  </mergeCells>
  <conditionalFormatting sqref="M10:P12">
    <cfRule type="cellIs" dxfId="2" priority="1" operator="notEqual">
      <formula>0</formula>
    </cfRule>
    <cfRule type="expression" dxfId="1" priority="3">
      <formula>$M$10&lt;&gt;0</formula>
    </cfRule>
  </conditionalFormatting>
  <conditionalFormatting sqref="N10:N12">
    <cfRule type="expression" dxfId="0" priority="2">
      <formula>$M$10:$P$12&lt;&gt;0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subs analysis</vt:lpstr>
      <vt:lpstr>Total vids analysis</vt:lpstr>
      <vt:lpstr>Total views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Eliud Wekesa</dc:creator>
  <cp:lastModifiedBy>Eliud Wekesa</cp:lastModifiedBy>
  <dcterms:created xsi:type="dcterms:W3CDTF">2025-12-30T04:45:03Z</dcterms:created>
  <dcterms:modified xsi:type="dcterms:W3CDTF">2026-01-02T06:36:23Z</dcterms:modified>
</cp:coreProperties>
</file>